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E26833E-4540-4EB8-B922-1C0153977E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ẫu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4" l="1"/>
  <c r="F24" i="4" l="1"/>
  <c r="F17" i="4"/>
  <c r="F29" i="4" l="1"/>
</calcChain>
</file>

<file path=xl/sharedStrings.xml><?xml version="1.0" encoding="utf-8"?>
<sst xmlns="http://schemas.openxmlformats.org/spreadsheetml/2006/main" count="51" uniqueCount="39">
  <si>
    <t>I. Thông tin chung</t>
  </si>
  <si>
    <t>Lớp: ……………………..Ngành:……………………………	Khóa học: ………………………………………</t>
  </si>
  <si>
    <t>Tên đề tài: ………………………………………………………………………………………………………..</t>
  </si>
  <si>
    <t>……………………………………………………………………………………………………………………</t>
  </si>
  <si>
    <t>Người hướng dẫn khoa học: ……………………………………………………………….</t>
  </si>
  <si>
    <t>II. Nhận xét, đánh giá khóa luận, đồ án</t>
  </si>
  <si>
    <t>TT</t>
  </si>
  <si>
    <t>Các tiêu chí đánh giá</t>
  </si>
  <si>
    <t>Điểm tối đa</t>
  </si>
  <si>
    <t>Điểm đạt</t>
  </si>
  <si>
    <t xml:space="preserve">Hình thức </t>
  </si>
  <si>
    <t>0,5</t>
  </si>
  <si>
    <t>Nội dung</t>
  </si>
  <si>
    <t>Demo và trả lời câu hỏi</t>
  </si>
  <si>
    <t>Tổng điểm</t>
  </si>
  <si>
    <t>PHIẾU ĐÁNH GIÁ</t>
  </si>
  <si>
    <t>1,0</t>
  </si>
  <si>
    <t>2,0</t>
  </si>
  <si>
    <r>
      <t xml:space="preserve">TRƯỜNG ĐẠI HỌC ĐỒNG THÁP
</t>
    </r>
    <r>
      <rPr>
        <b/>
        <sz val="10"/>
        <rFont val="Times New Roman"/>
        <family val="1"/>
      </rPr>
      <t>KHOA CÔNG NGHỆ VÀ KỸ THUẬT</t>
    </r>
  </si>
  <si>
    <r>
      <t>CỘNG HÒA XÃ HỘI CHỦ NGHĨA VIỆT NAM
Độc lập - Tự do - Hạnh phúc</t>
    </r>
    <r>
      <rPr>
        <sz val="10"/>
        <rFont val="Times New Roman"/>
        <family val="1"/>
      </rPr>
      <t xml:space="preserve">
</t>
    </r>
  </si>
  <si>
    <t>KHÓA LUẬN TỐT NGHIỆP/ ĐỒ ÁN TỐT NGHIỆP</t>
  </si>
  <si>
    <r>
      <t>Nêu được tính cấp thiết của đề tài</t>
    </r>
    <r>
      <rPr>
        <sz val="10"/>
        <rFont val="Times New Roman"/>
        <family val="1"/>
      </rPr>
      <t>, làm rõ tổng quan các công trình nghiên cứu, xác định mục đích, nhiệm vụ, đối tượng, phạm vi, nghiên cứu rõ ràng, hợp lý.</t>
    </r>
  </si>
  <si>
    <r>
      <t>Nội dung nghiên cứu</t>
    </r>
    <r>
      <rPr>
        <sz val="10"/>
        <rFont val="Times New Roman"/>
        <family val="1"/>
      </rPr>
      <t>: Khối lượng công việc hợp lí; tư liệu phong phú, chính xác, phù hợp mục đích nghiên cứu.</t>
    </r>
  </si>
  <si>
    <r>
      <t>Phương pháp nghiên cứu</t>
    </r>
    <r>
      <rPr>
        <sz val="10"/>
        <rFont val="Times New Roman"/>
        <family val="1"/>
      </rPr>
      <t>: Biết vận dụng các phương pháp nghiên cứu phù hợp với nội dung nghiên cứu của đề tài; trình bày nội dung có hệ thống khoa học, logic.</t>
    </r>
  </si>
  <si>
    <r>
      <t>Khả năng áp dụng</t>
    </r>
    <r>
      <rPr>
        <sz val="10"/>
        <rFont val="Times New Roman"/>
        <family val="1"/>
      </rPr>
      <t xml:space="preserve"> các giải thuật hiệu quả, số liệu chính xác;
</t>
    </r>
    <r>
      <rPr>
        <b/>
        <sz val="10"/>
        <rFont val="Times New Roman"/>
        <family val="1"/>
      </rPr>
      <t>Khả năng giải quyết vấn đề</t>
    </r>
    <r>
      <rPr>
        <sz val="10"/>
        <rFont val="Times New Roman"/>
        <family val="1"/>
      </rPr>
      <t xml:space="preserve">, đầy đủ minh chứng khoa học;
</t>
    </r>
    <r>
      <rPr>
        <b/>
        <sz val="10"/>
        <rFont val="Times New Roman"/>
        <family val="1"/>
      </rPr>
      <t>Khả năng suy luận</t>
    </r>
    <r>
      <rPr>
        <sz val="10"/>
        <rFont val="Times New Roman"/>
        <family val="1"/>
      </rPr>
      <t>, phân tích, tổng hợp tốt; có khả năng sáng tạo.</t>
    </r>
  </si>
  <si>
    <r>
      <t>Kết quả nghiên cứu</t>
    </r>
    <r>
      <rPr>
        <sz val="10"/>
        <rFont val="Times New Roman"/>
        <family val="1"/>
      </rPr>
      <t>: 
- Nêu được kết quả đạt được phù hợp với mục tiêu nghiên cứu của đề tài;
- Kết quả có giá trị về mặt lý luận và thực tiễn khoa học;
- Có đánh giá, nhận xét kết quả, dự đoán tương lai (nếu cần).</t>
    </r>
  </si>
  <si>
    <r>
      <t>Kết luận, kiến nghị</t>
    </r>
    <r>
      <rPr>
        <sz val="10"/>
        <rFont val="Times New Roman"/>
        <family val="1"/>
      </rPr>
      <t xml:space="preserve"> phù hợp với nội dung nghiên cứu.</t>
    </r>
  </si>
  <si>
    <r>
      <t>Demo không có lỗi</t>
    </r>
    <r>
      <rPr>
        <sz val="10"/>
        <rFont val="Times New Roman"/>
        <family val="1"/>
      </rPr>
      <t>, không vi phạm luật an ninh mạng/luật sở hữu trí tuệ; Có quy trình sử dụng/hướng dẫn sử dụng rõ ràng;
Có triển khai, có khả năng ứng dụng.</t>
    </r>
  </si>
  <si>
    <r>
      <t>Giao diện</t>
    </r>
    <r>
      <rPr>
        <sz val="10"/>
        <rFont val="Times New Roman"/>
        <family val="1"/>
      </rPr>
      <t xml:space="preserve"> thân thiện, hợp lý;
</t>
    </r>
    <r>
      <rPr>
        <b/>
        <sz val="10"/>
        <rFont val="Times New Roman"/>
        <family val="1"/>
      </rPr>
      <t>Các chức năng</t>
    </r>
    <r>
      <rPr>
        <sz val="10"/>
        <rFont val="Times New Roman"/>
        <family val="1"/>
      </rPr>
      <t xml:space="preserve"> đáp ứng được yêu cầu của đề tài;
Độ tin cậy, độ tương thích;
Tốc độ, bảo mật, chi phí hợp lý.</t>
    </r>
  </si>
  <si>
    <r>
      <t>Thuyết trình</t>
    </r>
    <r>
      <rPr>
        <sz val="10"/>
        <rFont val="Times New Roman"/>
        <family val="1"/>
      </rPr>
      <t xml:space="preserve"> lưu loát, slide trình chiếu rõ ràng, có sáng tạo;
</t>
    </r>
    <r>
      <rPr>
        <b/>
        <sz val="10"/>
        <rFont val="Times New Roman"/>
        <family val="1"/>
      </rPr>
      <t>Trả lời</t>
    </r>
    <r>
      <rPr>
        <sz val="10"/>
        <rFont val="Times New Roman"/>
        <family val="1"/>
      </rPr>
      <t xml:space="preserve"> đúng, đáp ứng được yêu cầu các câu hỏi đặt ra.</t>
    </r>
  </si>
  <si>
    <r>
      <t xml:space="preserve">Đồng Tháp, ngày    tháng      năm 
</t>
    </r>
    <r>
      <rPr>
        <b/>
        <sz val="10"/>
        <rFont val="Times New Roman"/>
        <family val="1"/>
      </rPr>
      <t>Người đánh giá</t>
    </r>
    <r>
      <rPr>
        <i/>
        <sz val="10"/>
        <rFont val="Times New Roman"/>
        <family val="1"/>
      </rPr>
      <t xml:space="preserve">
</t>
    </r>
  </si>
  <si>
    <t xml:space="preserve">III. Đề nghị (nếu có): </t>
  </si>
  <si>
    <t>Điểm thưởng (nếu có công bố kết quả nghiên cứu trên tập chí khoa học hoặc hội thảo trong và ngoài nước). Tổng điểm là 10 (kể cả điểm thưởng)</t>
  </si>
  <si>
    <t xml:space="preserve">Họ và tên (học hàm, học vị) người đánh giá:                                                       Nhiệm vụ trong hội đồng: </t>
  </si>
  <si>
    <t>Họ và tên sinh viên: ………………………………………..	                              Mã sinh viên: …………………………………..</t>
  </si>
  <si>
    <t>Cấu trúc khóa luận/đồ án hợp lý, bố cục chặt chẽ, rõ ràng, trình bày theo đúng quy định. Đúng kỹ thuật soạn thảo văn bản, không có dấu hiệu đạo văn.</t>
  </si>
  <si>
    <t>Chuyên cần</t>
  </si>
  <si>
    <t>Trích dẫn và trình bày tài liệu tham khảo, hình vẽ, bảng biểu rõ ràng, đúng quy định, không có lỗi chính tả, không lỗi in ấn.</t>
  </si>
  <si>
    <t>4,0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</si>
</sst>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6"/>
      <name val="Times New Roman"/>
      <family val="1"/>
    </font>
    <font>
      <sz val="16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Calibri"/>
      <family val="2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0" xfId="0" applyFont="1"/>
    <xf numFmtId="2" fontId="4" fillId="0" borderId="1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0" fontId="4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390525</xdr:rowOff>
    </xdr:from>
    <xdr:ext cx="876300" cy="0"/>
    <xdr:pic>
      <xdr:nvPicPr>
        <xdr:cNvPr id="2" name="Straight Arrow Connector 8">
          <a:extLst>
            <a:ext uri="{FF2B5EF4-FFF2-40B4-BE49-F238E27FC236}">
              <a16:creationId xmlns:a16="http://schemas.microsoft.com/office/drawing/2014/main" id="{09C2CABE-56A4-4D2D-B334-2591847F1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0525"/>
          <a:ext cx="876300" cy="0"/>
        </a:xfrm>
        <a:prstGeom prst="rect">
          <a:avLst/>
        </a:prstGeom>
      </xdr:spPr>
    </xdr:pic>
    <xdr:clientData/>
  </xdr:oneCellAnchor>
  <xdr:oneCellAnchor>
    <xdr:from>
      <xdr:col>2</xdr:col>
      <xdr:colOff>9525</xdr:colOff>
      <xdr:row>0</xdr:row>
      <xdr:rowOff>581025</xdr:rowOff>
    </xdr:from>
    <xdr:ext cx="1643806" cy="0"/>
    <xdr:pic>
      <xdr:nvPicPr>
        <xdr:cNvPr id="3" name="Straight Connector 1">
          <a:extLst>
            <a:ext uri="{FF2B5EF4-FFF2-40B4-BE49-F238E27FC236}">
              <a16:creationId xmlns:a16="http://schemas.microsoft.com/office/drawing/2014/main" id="{257E7417-6E3E-4CB3-AF04-41320E09A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9725" y="403225"/>
          <a:ext cx="1643806" cy="0"/>
        </a:xfrm>
        <a:prstGeom prst="rect">
          <a:avLst/>
        </a:prstGeom>
      </xdr:spPr>
    </xdr:pic>
    <xdr:clientData/>
  </xdr:oneCellAnchor>
  <xdr:twoCellAnchor>
    <xdr:from>
      <xdr:col>3</xdr:col>
      <xdr:colOff>596900</xdr:colOff>
      <xdr:row>0</xdr:row>
      <xdr:rowOff>368300</xdr:rowOff>
    </xdr:from>
    <xdr:to>
      <xdr:col>4</xdr:col>
      <xdr:colOff>374650</xdr:colOff>
      <xdr:row>0</xdr:row>
      <xdr:rowOff>368300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340C4B0-02DD-40DC-A700-C04B5E35E1B5}"/>
            </a:ext>
          </a:extLst>
        </xdr:cNvPr>
        <xdr:cNvCxnSpPr/>
      </xdr:nvCxnSpPr>
      <xdr:spPr>
        <a:xfrm>
          <a:off x="4076700" y="368300"/>
          <a:ext cx="1441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88900</xdr:colOff>
      <xdr:row>0</xdr:row>
      <xdr:rowOff>368300</xdr:rowOff>
    </xdr:from>
    <xdr:to>
      <xdr:col>1</xdr:col>
      <xdr:colOff>1308100</xdr:colOff>
      <xdr:row>0</xdr:row>
      <xdr:rowOff>368300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978EA63-0917-4B55-AB68-00622BB5DAC8}"/>
            </a:ext>
          </a:extLst>
        </xdr:cNvPr>
        <xdr:cNvCxnSpPr/>
      </xdr:nvCxnSpPr>
      <xdr:spPr>
        <a:xfrm>
          <a:off x="698500" y="368300"/>
          <a:ext cx="12192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BACD-27C2-4B6C-96AF-94B905EB79C8}">
  <dimension ref="A1:F31"/>
  <sheetViews>
    <sheetView tabSelected="1" workbookViewId="0">
      <selection activeCell="F25" sqref="F25"/>
    </sheetView>
  </sheetViews>
  <sheetFormatPr defaultColWidth="8.77734375" defaultRowHeight="13.8" x14ac:dyDescent="0.3"/>
  <cols>
    <col min="1" max="1" width="8.77734375" style="11"/>
    <col min="2" max="2" width="32.33203125" style="11" customWidth="1"/>
    <col min="3" max="3" width="8.77734375" style="11"/>
    <col min="4" max="4" width="23.77734375" style="11" customWidth="1"/>
    <col min="5" max="5" width="13.21875" style="11" customWidth="1"/>
    <col min="6" max="6" width="9.77734375" style="11" customWidth="1"/>
    <col min="7" max="16384" width="8.77734375" style="2"/>
  </cols>
  <sheetData>
    <row r="1" spans="1:6" ht="31.95" customHeight="1" x14ac:dyDescent="0.3">
      <c r="A1" s="18" t="s">
        <v>18</v>
      </c>
      <c r="B1" s="18"/>
      <c r="C1" s="19" t="s">
        <v>19</v>
      </c>
      <c r="D1" s="19"/>
      <c r="E1" s="19"/>
      <c r="F1" s="19"/>
    </row>
    <row r="2" spans="1:6" s="1" customFormat="1" ht="21" x14ac:dyDescent="0.4">
      <c r="A2" s="20" t="s">
        <v>15</v>
      </c>
      <c r="B2" s="20"/>
      <c r="C2" s="20"/>
      <c r="D2" s="20"/>
      <c r="E2" s="20"/>
      <c r="F2" s="20"/>
    </row>
    <row r="3" spans="1:6" x14ac:dyDescent="0.3">
      <c r="A3" s="18" t="s">
        <v>20</v>
      </c>
      <c r="B3" s="18"/>
      <c r="C3" s="18"/>
      <c r="D3" s="18"/>
      <c r="E3" s="18"/>
      <c r="F3" s="18"/>
    </row>
    <row r="4" spans="1:6" ht="16.05" customHeight="1" x14ac:dyDescent="0.3">
      <c r="A4" s="17" t="s">
        <v>0</v>
      </c>
      <c r="B4" s="17"/>
      <c r="C4" s="17"/>
      <c r="D4" s="17"/>
      <c r="E4" s="17"/>
      <c r="F4" s="17"/>
    </row>
    <row r="5" spans="1:6" ht="15" customHeight="1" x14ac:dyDescent="0.3">
      <c r="A5" s="21" t="s">
        <v>33</v>
      </c>
      <c r="B5" s="21"/>
      <c r="C5" s="21"/>
      <c r="D5" s="21"/>
      <c r="E5" s="21"/>
      <c r="F5" s="21"/>
    </row>
    <row r="6" spans="1:6" ht="16.05" customHeight="1" x14ac:dyDescent="0.3">
      <c r="A6" s="21" t="s">
        <v>34</v>
      </c>
      <c r="B6" s="21"/>
      <c r="C6" s="21"/>
      <c r="D6" s="21"/>
      <c r="E6" s="21"/>
      <c r="F6" s="21"/>
    </row>
    <row r="7" spans="1:6" ht="16.05" customHeight="1" x14ac:dyDescent="0.3">
      <c r="A7" s="21" t="s">
        <v>1</v>
      </c>
      <c r="B7" s="21"/>
      <c r="C7" s="21"/>
      <c r="D7" s="21"/>
      <c r="E7" s="21"/>
      <c r="F7" s="21"/>
    </row>
    <row r="8" spans="1:6" ht="16.05" customHeight="1" x14ac:dyDescent="0.3">
      <c r="A8" s="21" t="s">
        <v>2</v>
      </c>
      <c r="B8" s="21"/>
      <c r="C8" s="21"/>
      <c r="D8" s="21"/>
      <c r="E8" s="21"/>
      <c r="F8" s="21"/>
    </row>
    <row r="9" spans="1:6" ht="16.05" customHeight="1" x14ac:dyDescent="0.3">
      <c r="A9" s="21" t="s">
        <v>3</v>
      </c>
      <c r="B9" s="21"/>
      <c r="C9" s="21"/>
      <c r="D9" s="21"/>
      <c r="E9" s="21"/>
      <c r="F9" s="21"/>
    </row>
    <row r="10" spans="1:6" x14ac:dyDescent="0.3">
      <c r="A10" s="21" t="s">
        <v>4</v>
      </c>
      <c r="B10" s="21"/>
      <c r="C10" s="21"/>
      <c r="D10" s="21"/>
      <c r="E10" s="21"/>
      <c r="F10" s="21"/>
    </row>
    <row r="11" spans="1:6" x14ac:dyDescent="0.3">
      <c r="A11" s="17" t="s">
        <v>5</v>
      </c>
      <c r="B11" s="17"/>
      <c r="C11" s="17"/>
      <c r="D11" s="17"/>
      <c r="E11" s="17"/>
      <c r="F11" s="17"/>
    </row>
    <row r="12" spans="1:6" ht="21" customHeight="1" x14ac:dyDescent="0.3">
      <c r="A12" s="3" t="s">
        <v>6</v>
      </c>
      <c r="B12" s="23" t="s">
        <v>7</v>
      </c>
      <c r="C12" s="23"/>
      <c r="D12" s="23"/>
      <c r="E12" s="4" t="s">
        <v>8</v>
      </c>
      <c r="F12" s="4" t="s">
        <v>9</v>
      </c>
    </row>
    <row r="13" spans="1:6" x14ac:dyDescent="0.3">
      <c r="A13" s="3">
        <v>1</v>
      </c>
      <c r="B13" s="24" t="s">
        <v>10</v>
      </c>
      <c r="C13" s="24"/>
      <c r="D13" s="24"/>
      <c r="E13" s="3" t="s">
        <v>17</v>
      </c>
      <c r="F13" s="12">
        <f>SUM(F14:F16)</f>
        <v>2</v>
      </c>
    </row>
    <row r="14" spans="1:6" ht="16.05" customHeight="1" x14ac:dyDescent="0.3">
      <c r="A14" s="5">
        <v>1.1000000000000001</v>
      </c>
      <c r="B14" s="25" t="s">
        <v>36</v>
      </c>
      <c r="C14" s="26"/>
      <c r="D14" s="26"/>
      <c r="E14" s="6" t="s">
        <v>16</v>
      </c>
      <c r="F14" s="13">
        <v>1</v>
      </c>
    </row>
    <row r="15" spans="1:6" ht="31.95" customHeight="1" x14ac:dyDescent="0.3">
      <c r="A15" s="7">
        <v>1.2</v>
      </c>
      <c r="B15" s="27" t="s">
        <v>35</v>
      </c>
      <c r="C15" s="28"/>
      <c r="D15" s="28"/>
      <c r="E15" s="8" t="s">
        <v>11</v>
      </c>
      <c r="F15" s="14">
        <v>0.5</v>
      </c>
    </row>
    <row r="16" spans="1:6" ht="31.5" customHeight="1" x14ac:dyDescent="0.3">
      <c r="A16" s="7">
        <v>1.3</v>
      </c>
      <c r="B16" s="27" t="s">
        <v>37</v>
      </c>
      <c r="C16" s="28"/>
      <c r="D16" s="28"/>
      <c r="E16" s="8" t="s">
        <v>11</v>
      </c>
      <c r="F16" s="14">
        <v>0.5</v>
      </c>
    </row>
    <row r="17" spans="1:6" x14ac:dyDescent="0.3">
      <c r="A17" s="3">
        <v>2</v>
      </c>
      <c r="B17" s="24" t="s">
        <v>12</v>
      </c>
      <c r="C17" s="24"/>
      <c r="D17" s="24"/>
      <c r="E17" s="3" t="s">
        <v>38</v>
      </c>
      <c r="F17" s="16">
        <f>SUM(F18:F23)</f>
        <v>4</v>
      </c>
    </row>
    <row r="18" spans="1:6" ht="30.45" customHeight="1" x14ac:dyDescent="0.3">
      <c r="A18" s="6">
        <v>2.1</v>
      </c>
      <c r="B18" s="29" t="s">
        <v>21</v>
      </c>
      <c r="C18" s="29"/>
      <c r="D18" s="29"/>
      <c r="E18" s="6" t="s">
        <v>11</v>
      </c>
      <c r="F18" s="13">
        <v>0.5</v>
      </c>
    </row>
    <row r="19" spans="1:6" ht="25.5" customHeight="1" x14ac:dyDescent="0.3">
      <c r="A19" s="8">
        <v>2.2000000000000002</v>
      </c>
      <c r="B19" s="22" t="s">
        <v>22</v>
      </c>
      <c r="C19" s="22"/>
      <c r="D19" s="22"/>
      <c r="E19" s="8" t="s">
        <v>11</v>
      </c>
      <c r="F19" s="14">
        <v>0.5</v>
      </c>
    </row>
    <row r="20" spans="1:6" ht="31.95" customHeight="1" x14ac:dyDescent="0.3">
      <c r="A20" s="8">
        <v>2.2999999999999998</v>
      </c>
      <c r="B20" s="22" t="s">
        <v>23</v>
      </c>
      <c r="C20" s="22"/>
      <c r="D20" s="22"/>
      <c r="E20" s="8" t="s">
        <v>16</v>
      </c>
      <c r="F20" s="14">
        <v>1</v>
      </c>
    </row>
    <row r="21" spans="1:6" ht="45" customHeight="1" x14ac:dyDescent="0.3">
      <c r="A21" s="8">
        <v>2.4</v>
      </c>
      <c r="B21" s="22" t="s">
        <v>24</v>
      </c>
      <c r="C21" s="22"/>
      <c r="D21" s="22"/>
      <c r="E21" s="8" t="s">
        <v>16</v>
      </c>
      <c r="F21" s="14">
        <v>1</v>
      </c>
    </row>
    <row r="22" spans="1:6" ht="53.55" customHeight="1" x14ac:dyDescent="0.3">
      <c r="A22" s="8">
        <v>2.5</v>
      </c>
      <c r="B22" s="22" t="s">
        <v>25</v>
      </c>
      <c r="C22" s="22"/>
      <c r="D22" s="22"/>
      <c r="E22" s="8" t="s">
        <v>11</v>
      </c>
      <c r="F22" s="14">
        <v>0.5</v>
      </c>
    </row>
    <row r="23" spans="1:6" x14ac:dyDescent="0.3">
      <c r="A23" s="9">
        <v>2.6</v>
      </c>
      <c r="B23" s="31" t="s">
        <v>26</v>
      </c>
      <c r="C23" s="31"/>
      <c r="D23" s="31"/>
      <c r="E23" s="9" t="s">
        <v>11</v>
      </c>
      <c r="F23" s="15">
        <v>0.5</v>
      </c>
    </row>
    <row r="24" spans="1:6" x14ac:dyDescent="0.3">
      <c r="A24" s="10">
        <v>3</v>
      </c>
      <c r="B24" s="24" t="s">
        <v>13</v>
      </c>
      <c r="C24" s="24"/>
      <c r="D24" s="24"/>
      <c r="E24" s="3" t="s">
        <v>38</v>
      </c>
      <c r="F24" s="16">
        <f>SUM(F25:F27)</f>
        <v>2.5</v>
      </c>
    </row>
    <row r="25" spans="1:6" ht="41.55" customHeight="1" x14ac:dyDescent="0.3">
      <c r="A25" s="6">
        <v>3.1</v>
      </c>
      <c r="B25" s="29" t="s">
        <v>27</v>
      </c>
      <c r="C25" s="29"/>
      <c r="D25" s="29"/>
      <c r="E25" s="6" t="s">
        <v>16</v>
      </c>
      <c r="F25" s="13">
        <v>0.5</v>
      </c>
    </row>
    <row r="26" spans="1:6" ht="51" customHeight="1" x14ac:dyDescent="0.3">
      <c r="A26" s="8">
        <v>3.2</v>
      </c>
      <c r="B26" s="22" t="s">
        <v>28</v>
      </c>
      <c r="C26" s="22"/>
      <c r="D26" s="22"/>
      <c r="E26" s="8" t="s">
        <v>17</v>
      </c>
      <c r="F26" s="14">
        <v>1.5</v>
      </c>
    </row>
    <row r="27" spans="1:6" ht="25.5" customHeight="1" x14ac:dyDescent="0.3">
      <c r="A27" s="9">
        <v>3.3</v>
      </c>
      <c r="B27" s="31" t="s">
        <v>29</v>
      </c>
      <c r="C27" s="31"/>
      <c r="D27" s="31"/>
      <c r="E27" s="9" t="s">
        <v>16</v>
      </c>
      <c r="F27" s="15">
        <v>0.5</v>
      </c>
    </row>
    <row r="28" spans="1:6" ht="25.5" customHeight="1" x14ac:dyDescent="0.3">
      <c r="A28" s="3">
        <v>4</v>
      </c>
      <c r="B28" s="24" t="s">
        <v>32</v>
      </c>
      <c r="C28" s="24"/>
      <c r="D28" s="24"/>
      <c r="E28" s="3" t="s">
        <v>16</v>
      </c>
      <c r="F28" s="12">
        <v>0</v>
      </c>
    </row>
    <row r="29" spans="1:6" x14ac:dyDescent="0.3">
      <c r="A29" s="23" t="s">
        <v>14</v>
      </c>
      <c r="B29" s="23"/>
      <c r="C29" s="23"/>
      <c r="D29" s="23"/>
      <c r="E29" s="4">
        <v>10</v>
      </c>
      <c r="F29" s="16">
        <f>F13+F17+F24+F28</f>
        <v>8.5</v>
      </c>
    </row>
    <row r="30" spans="1:6" x14ac:dyDescent="0.3">
      <c r="A30" s="17" t="s">
        <v>31</v>
      </c>
      <c r="B30" s="17"/>
      <c r="C30" s="17"/>
      <c r="D30" s="17"/>
      <c r="E30" s="17"/>
      <c r="F30" s="17"/>
    </row>
    <row r="31" spans="1:6" ht="91.05" customHeight="1" x14ac:dyDescent="0.3">
      <c r="A31" s="18"/>
      <c r="B31" s="18"/>
      <c r="C31" s="18"/>
      <c r="D31" s="30" t="s">
        <v>30</v>
      </c>
      <c r="E31" s="30"/>
      <c r="F31" s="30"/>
    </row>
  </sheetData>
  <mergeCells count="33">
    <mergeCell ref="A29:D29"/>
    <mergeCell ref="A30:F30"/>
    <mergeCell ref="A31:C31"/>
    <mergeCell ref="D31:F31"/>
    <mergeCell ref="B23:D23"/>
    <mergeCell ref="B24:D24"/>
    <mergeCell ref="B25:D25"/>
    <mergeCell ref="B26:D26"/>
    <mergeCell ref="B27:D27"/>
    <mergeCell ref="B28:D28"/>
    <mergeCell ref="B22:D22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11:F11"/>
    <mergeCell ref="A1:B1"/>
    <mergeCell ref="C1:F1"/>
    <mergeCell ref="A2:F2"/>
    <mergeCell ref="A3:F3"/>
    <mergeCell ref="A4:F4"/>
    <mergeCell ref="A5:F5"/>
    <mergeCell ref="A6:F6"/>
    <mergeCell ref="A7:F7"/>
    <mergeCell ref="A8:F8"/>
    <mergeCell ref="A9:F9"/>
    <mergeCell ref="A10:F10"/>
  </mergeCells>
  <pageMargins left="0.54" right="0.34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nguyenthithuylinh12111976@outlook.com</dc:creator>
  <cp:lastModifiedBy>Duyen Ky</cp:lastModifiedBy>
  <cp:revision>10</cp:revision>
  <cp:lastPrinted>2026-05-13T11:15:55Z</cp:lastPrinted>
  <dcterms:created xsi:type="dcterms:W3CDTF">2026-04-29T10:51:00Z</dcterms:created>
  <dcterms:modified xsi:type="dcterms:W3CDTF">2026-10-01T09:26:19Z</dcterms:modified>
</cp:coreProperties>
</file>